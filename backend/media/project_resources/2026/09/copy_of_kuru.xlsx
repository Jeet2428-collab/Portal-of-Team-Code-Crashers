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<sst xmlns="http://schemas.openxmlformats.org/spreadsheetml/2006/main" count="319" uniqueCount="253">
  <si>
    <t>LIMITED EVENTS</t>
  </si>
  <si>
    <t>RAMAYANA CHARACTERS</t>
  </si>
  <si>
    <t>LEGENDARY CARDS (CHOOSE ANY ONE)</t>
  </si>
  <si>
    <t>PRIZE</t>
  </si>
  <si>
    <t>EVENTS</t>
  </si>
  <si>
    <t>CHOOSE ONE CARD FROM BOTH (EPIC &amp; LEGENDARY)</t>
  </si>
  <si>
    <t>GEMS</t>
  </si>
  <si>
    <t>MAHADEV'S BLESSING</t>
  </si>
  <si>
    <t>TRISUL, PINAKA, MAHESWARASTRA</t>
  </si>
  <si>
    <t>₹ 349.00</t>
  </si>
  <si>
    <t>MAHABHARAT CHARACTERS</t>
  </si>
  <si>
    <t>VISHNU'S BLESSING</t>
  </si>
  <si>
    <t>SARANGA, SUDARSANA, VAISNAVASTRA</t>
  </si>
  <si>
    <t>FICTION</t>
  </si>
  <si>
    <t>BRAHMA'S BLESSING</t>
  </si>
  <si>
    <t>BRAHMASTRA, BRAHMASHIRA, BRAHMAND</t>
  </si>
  <si>
    <t>₹ 299.00</t>
  </si>
  <si>
    <t>HEROS</t>
  </si>
  <si>
    <t>STATS</t>
  </si>
  <si>
    <t>ABILITIES</t>
  </si>
  <si>
    <t>HEROES</t>
  </si>
  <si>
    <t>BEAST</t>
  </si>
  <si>
    <t>SUGREEV (M)</t>
  </si>
  <si>
    <t>3 / 1 / 40</t>
  </si>
  <si>
    <t>SPAWNS VAANAR SENA AT START TURN</t>
  </si>
  <si>
    <t>BALI (M)</t>
  </si>
  <si>
    <t>1 / 2 / 50</t>
  </si>
  <si>
    <t>STEAL OPPONENTS HALF DAMAGE WHILE ATTACK</t>
  </si>
  <si>
    <t>PANDAV</t>
  </si>
  <si>
    <t>YUDHISTIR (M)</t>
  </si>
  <si>
    <t>2 / 1 / 30</t>
  </si>
  <si>
    <t>ALL CHARGE ON DEPLOY</t>
  </si>
  <si>
    <t>TARA (R)</t>
  </si>
  <si>
    <t>2 / 0 / 30</t>
  </si>
  <si>
    <t>ALL VAANAR UNITS CHARGES ON BOARD</t>
  </si>
  <si>
    <t>BHEEM (M)</t>
  </si>
  <si>
    <t>5 / 2 / 45</t>
  </si>
  <si>
    <t>FEEDS + SPAWNS (2 - 4 SOMA) RAKSHAS UNITS AT END TURN</t>
  </si>
  <si>
    <t>ANGAAD (M)</t>
  </si>
  <si>
    <t>3 / 0 / 30</t>
  </si>
  <si>
    <t>STEAL OPPONENTS RANDOM CARD AT END TURN</t>
  </si>
  <si>
    <t>ARJUN (R)</t>
  </si>
  <si>
    <t>3 / 0 / 25</t>
  </si>
  <si>
    <t>STUNS + CAST SPELLS DRAW SPELLS</t>
  </si>
  <si>
    <t>NALA (R)</t>
  </si>
  <si>
    <t>2 / 0 / 25</t>
  </si>
  <si>
    <t>GIVE ALL VAANAR UNITS TRIBE + LIVING SHIELD</t>
  </si>
  <si>
    <t>NAKUL (M)</t>
  </si>
  <si>
    <t>SPAWNS (2 - 4 SOMA) BEAST AT END TURN</t>
  </si>
  <si>
    <t>NILA (M)</t>
  </si>
  <si>
    <t>ALL TRIBE UNITS GAIN DAMAGE +2 &amp; HEALTH +5</t>
  </si>
  <si>
    <t>SAHADEV (M)</t>
  </si>
  <si>
    <t>DISCARD SPELL CARDS FROM OPPONENT HAND AT START TURN</t>
  </si>
  <si>
    <t>SUSHEN (R)</t>
  </si>
  <si>
    <t>3 / 0 / 40</t>
  </si>
  <si>
    <t>SPAWNS (1 - 3 SOMA) MEDIC UNITS AT START TURN</t>
  </si>
  <si>
    <t>ABHIMANYU (R)</t>
  </si>
  <si>
    <t>2 / 1 / 25</t>
  </si>
  <si>
    <t>CARDS ON HAND COST -2 SOMA</t>
  </si>
  <si>
    <t>JAMVANT (M)</t>
  </si>
  <si>
    <t>2 / 1 / 40</t>
  </si>
  <si>
    <t>ALL BEAST UNITS CHARGES ON BOARD</t>
  </si>
  <si>
    <t>GHATOTKACH (M)</t>
  </si>
  <si>
    <t>4 / 1 / 40</t>
  </si>
  <si>
    <t>FEEDS + ALL RAKSHAS UNITS CHARGES ON BOARD</t>
  </si>
  <si>
    <t>SAMPATI (R)</t>
  </si>
  <si>
    <t>4 / 1 / 30</t>
  </si>
  <si>
    <t>SPAWNS (2 - 4 SOMA) BEAST AT START TURN</t>
  </si>
  <si>
    <t>SATYAKI (R)</t>
  </si>
  <si>
    <t>2 / 0 / 20</t>
  </si>
  <si>
    <t>ALL UNITS COST -1 SOMA</t>
  </si>
  <si>
    <t>JATAYU (R)</t>
  </si>
  <si>
    <t>5 / 0 / 30</t>
  </si>
  <si>
    <t>ALL BEAST UNITS GAIN FLANKS + DAMAGE +2</t>
  </si>
  <si>
    <t>DRUPAD (M)</t>
  </si>
  <si>
    <t>3 / 1 / 30</t>
  </si>
  <si>
    <t>ALL HUMAN UNITS CHARGES ON BOARD</t>
  </si>
  <si>
    <t>DRISHTADYUMNYA (R)</t>
  </si>
  <si>
    <t>BURNS + RANGED UNITS DAMAGE +2</t>
  </si>
  <si>
    <t>RAKSHAS</t>
  </si>
  <si>
    <t>SURPANAKHA (M)</t>
  </si>
  <si>
    <t>1 / 3 / 30</t>
  </si>
  <si>
    <t>DAMAGE CONVERTS INTO MAXIMUM DAMAGE DEALER AT START TURN</t>
  </si>
  <si>
    <t>KHARA (M)</t>
  </si>
  <si>
    <t>ANY RAKSHAS DIES ON BOARD HERO GAINS HEALTH +5</t>
  </si>
  <si>
    <t>KAURAV</t>
  </si>
  <si>
    <t>KARNA (R)</t>
  </si>
  <si>
    <t>BURNS + SACRIFICE CARD GAINS SOMA AS</t>
  </si>
  <si>
    <t>FOR KARNA
 COMMON - 1, RARE - 2, EPIC/LEGENDARY - 3, SURYA KAVACH = 5 [SOMA]</t>
  </si>
  <si>
    <t>DUSHEN (M)</t>
  </si>
  <si>
    <t>ALL RAKSHAS UNITS CHARGES ON BOARD</t>
  </si>
  <si>
    <t>DURYADHAN (M)</t>
  </si>
  <si>
    <t>2 / 0 / 35</t>
  </si>
  <si>
    <t>CHARGE ALL MEELE UNITS ON CONTROL</t>
  </si>
  <si>
    <t>ATIKAYA (R)</t>
  </si>
  <si>
    <t>SPAWNS (4 - 7 SOMA) ASUR AT END TURN</t>
  </si>
  <si>
    <t>DUSHASHAN (M)</t>
  </si>
  <si>
    <t>GIVE +1 SHIELD TO ALL UNITS ON BOARD</t>
  </si>
  <si>
    <t>AKSHAY (R)</t>
  </si>
  <si>
    <t>GIVE ALL UNITS TAPASHYA AT START TURN</t>
  </si>
  <si>
    <t>SAKUNI (M)</t>
  </si>
  <si>
    <t>ALL OPPONENTS HAS -1 SOMA</t>
  </si>
  <si>
    <t>BIVISHAN (R)</t>
  </si>
  <si>
    <t>2 / 1 / 35</t>
  </si>
  <si>
    <t>SPAWNS (2 - 4 SOMA) SAGE AT END TURN</t>
  </si>
  <si>
    <t>BHISMA (R)</t>
  </si>
  <si>
    <t>FREEZES + COUNTER IMMUNE, IMMORTAL</t>
  </si>
  <si>
    <t>MAYASUR (R)</t>
  </si>
  <si>
    <t>4 / 0 / 40</t>
  </si>
  <si>
    <t>CAST SPELLS AT END TURN</t>
  </si>
  <si>
    <t>DRONA (R)</t>
  </si>
  <si>
    <t>POISONS + ALL NAGA UNITS CHARGES ON BOARD</t>
  </si>
  <si>
    <t>TADAKA (M)</t>
  </si>
  <si>
    <t>3 / 2 / 40</t>
  </si>
  <si>
    <t>SPAWNS (3 - 5 SOMA) YAKSHA AT END TURN</t>
  </si>
  <si>
    <t>ASWATHAMMA (R)</t>
  </si>
  <si>
    <t>4 / 0 / 35</t>
  </si>
  <si>
    <t>HEALS ALL ALLY +2 WHILE ATTACK [INCLUDING UNITS]</t>
  </si>
  <si>
    <t>MAREECH (M)</t>
  </si>
  <si>
    <t>2 / 3 / 40</t>
  </si>
  <si>
    <t>ALL YAKSHA UNITS CHARGES ON BOARD</t>
  </si>
  <si>
    <t>SUSHARMA (M)</t>
  </si>
  <si>
    <t>DAMAGE *2 TO TARGETED UNITS</t>
  </si>
  <si>
    <t>SUBAHU (M)</t>
  </si>
  <si>
    <t>DAMAGE +1 FOR ALL UNITS ON CONTROL</t>
  </si>
  <si>
    <t>JARASANDH (M)</t>
  </si>
  <si>
    <t>GAINS DAMAGE +1 WHILE KILL &amp; CAN ATTACK REPEATEDLY</t>
  </si>
  <si>
    <t>VRISHASEN (R)</t>
  </si>
  <si>
    <t>3 / 1 / 25</t>
  </si>
  <si>
    <t>BURNS + SPELLS DEALS DAMAGE +1</t>
  </si>
  <si>
    <t>WEAPON (SOMA)</t>
  </si>
  <si>
    <t>ADDITION</t>
  </si>
  <si>
    <t>GANDIVA (5)</t>
  </si>
  <si>
    <t>PIERCE, SPELL +2 DAMAGE SPELLS -1 COST</t>
  </si>
  <si>
    <t>SPELLS</t>
  </si>
  <si>
    <t>SOMA</t>
  </si>
  <si>
    <t>HOW TO COLLECT</t>
  </si>
  <si>
    <t>VIJAYA (6)</t>
  </si>
  <si>
    <t>SPELL IMMUNE, SPELL +1 DAMAGE</t>
  </si>
  <si>
    <t>KAUNDIYA (6)</t>
  </si>
  <si>
    <t>DAMAGE TO ALL</t>
  </si>
  <si>
    <t>PASHUPATASTRA</t>
  </si>
  <si>
    <t>HERO CARD FOR ARJUN [DEAL 10 PIERCE DAMAGE]</t>
  </si>
  <si>
    <t>HERO JOURNEY</t>
  </si>
  <si>
    <t>TRISUL (8)</t>
  </si>
  <si>
    <t>PIERCE, COUNTER IMMUNE, SINGLE TARGET</t>
  </si>
  <si>
    <t>MAHESWARASTRA</t>
  </si>
  <si>
    <t>DEAL 10 PIERCE DAMAGE TO SINGLE TARGET, DAMAGE TWICE TO HEROES</t>
  </si>
  <si>
    <t>LIMITED EVENT</t>
  </si>
  <si>
    <t>PINAKA (7)</t>
  </si>
  <si>
    <t>DAMAGE *2 TO SINGLE TARGET</t>
  </si>
  <si>
    <t>SAMBHAVASTRA</t>
  </si>
  <si>
    <t>SPELL IMMUNE, GAINS ALL UNITS TO GUARD PROPERTY FOR 2 TURNS</t>
  </si>
  <si>
    <t>DHARMA PASS</t>
  </si>
  <si>
    <t>SARANGA (6)</t>
  </si>
  <si>
    <t>DEALT DAMAGE RETURNS INTO HEROS HEALTH</t>
  </si>
  <si>
    <t>RUDRASTRA</t>
  </si>
  <si>
    <t>DESTROY A RANDOM ENEMY UNIT &amp; YOUR HERO GAINS ALL HEALTH</t>
  </si>
  <si>
    <t>KUMODAKI (4)</t>
  </si>
  <si>
    <t>SMASHES, OVERKILL</t>
  </si>
  <si>
    <t>SANJEEVANI VIDYA</t>
  </si>
  <si>
    <t>REVIVE ALL ASURAS &amp; RAKHSAS UNITS</t>
  </si>
  <si>
    <t>SUDARSANA (5)</t>
  </si>
  <si>
    <t>NARAYANASTRA</t>
  </si>
  <si>
    <t>ALL ENEMIES LOSE HEALTH EQUAL TO THEIR DAMAGE</t>
  </si>
  <si>
    <t>EVENT</t>
  </si>
  <si>
    <t>MODAKI (2)</t>
  </si>
  <si>
    <t>BLEEDS</t>
  </si>
  <si>
    <t>VAISHNAVASTRA</t>
  </si>
  <si>
    <t>DEAL 8 DAMAGE TO TARGET HERO, COMBO: ON TARGET FINISHES A ENEMY HERO</t>
  </si>
  <si>
    <t>VRIGODHARAM (4)</t>
  </si>
  <si>
    <t>OVERKILL</t>
  </si>
  <si>
    <t>NAGASTRA</t>
  </si>
  <si>
    <t>POISONS (-2) AND DEAL DAMAGE 4 TO ALL ENEMY UNITS</t>
  </si>
  <si>
    <t>HIMASTRA (4)</t>
  </si>
  <si>
    <t>FREEZE,</t>
  </si>
  <si>
    <t>NAG PAASH</t>
  </si>
  <si>
    <t>TARGET UNIT GAIN PERMENENT UNCONSIOUSNESS</t>
  </si>
  <si>
    <t>DANAVASTRA</t>
  </si>
  <si>
    <t>LOSE 4 HEALTH &amp; DEAL 6 DAMAGE TO SINGLE TARGET</t>
  </si>
  <si>
    <t>SIKHARI GADA (4)</t>
  </si>
  <si>
    <t>POISONS</t>
  </si>
  <si>
    <t>YAMASTRA</t>
  </si>
  <si>
    <t>DISARMS, CREATES ILLUSION TO ENEMIES FOR 2 TURNS</t>
  </si>
  <si>
    <t>CHAKRA (3)</t>
  </si>
  <si>
    <t>PIERCE, SINGLE TARGET</t>
  </si>
  <si>
    <t>YAM PAASH</t>
  </si>
  <si>
    <t>KILLS THE UNIT &amp; TARGETED UNIT CANNOT BE SUMMON OR DEPLOY</t>
  </si>
  <si>
    <t>SHULA (2)</t>
  </si>
  <si>
    <t>GARUDASTRA</t>
  </si>
  <si>
    <t>DEAL 5 DAMAGE TO NAGAS</t>
  </si>
  <si>
    <t>KHADGA (4)</t>
  </si>
  <si>
    <t>VASHVI SAKTI</t>
  </si>
  <si>
    <t>HERO CARD FOR KARNA [DEAL 8 DAMAGE]</t>
  </si>
  <si>
    <t>KATAR (2)</t>
  </si>
  <si>
    <t>MAYASTRA</t>
  </si>
  <si>
    <t>CREATES ILLUSION TO ENEMIES FOR 1 TURN</t>
  </si>
  <si>
    <t>PARASHU (3)</t>
  </si>
  <si>
    <t>KALASTRA</t>
  </si>
  <si>
    <t>TWICE THE TIME OF END TURN FOR 2 TURNS</t>
  </si>
  <si>
    <t>DHANUSH (3)</t>
  </si>
  <si>
    <t>TAMASASTRA</t>
  </si>
  <si>
    <t>GADA (3)</t>
  </si>
  <si>
    <t>BHAIRAVASTRA</t>
  </si>
  <si>
    <t>BHARGAVASTRA</t>
  </si>
  <si>
    <t>VARUNASTRA</t>
  </si>
  <si>
    <t>HEALS +2 TO ALL ALLY, DEAL 5 DAMAGE TO SINGLE TARGET</t>
  </si>
  <si>
    <t>AGNIASTRA</t>
  </si>
  <si>
    <t>BURNS, DEAL 2 DAMAGE TO ALL</t>
  </si>
  <si>
    <t>VAYAVYASTRA</t>
  </si>
  <si>
    <t>ALL ENEMY UNITS RETURN TO DRAW PILE</t>
  </si>
  <si>
    <t>VAJRASTRA</t>
  </si>
  <si>
    <t>STUNS, DEAL 4 PIERCE DAMAGE TO SINGLE TARGET</t>
  </si>
  <si>
    <t>SURYASTRA</t>
  </si>
  <si>
    <t>DEAL 4 PIERCE DAMAGE TO TARGET, COMBO: BURNS</t>
  </si>
  <si>
    <t>INDRASTRA</t>
  </si>
  <si>
    <t>DEAL 5 PIERCE DAMAGE TO TARGETED UNIT</t>
  </si>
  <si>
    <t>BHUMI ASTRA</t>
  </si>
  <si>
    <t>DEAL 5 DAMAGE TO ALL</t>
  </si>
  <si>
    <t>PRASWAPASTRA</t>
  </si>
  <si>
    <t>SAMYODHON ASTRA</t>
  </si>
  <si>
    <t>BRAHMASTRA</t>
  </si>
  <si>
    <t>DEAL 5 DAMAGE TO TARGET HERO</t>
  </si>
  <si>
    <t>BRAHMASHIRA</t>
  </si>
  <si>
    <t>DEAL 6 DAMAGE TO ALL</t>
  </si>
  <si>
    <t>BRAHMAND</t>
  </si>
  <si>
    <t>MRITYUASTRA</t>
  </si>
  <si>
    <t>KILL TARGETED ALLIED UNITS, DEAL 2 DAMAGE TO TARGET FOR EVERY UNITS ON BOARD</t>
  </si>
  <si>
    <t>AMRIT KALASH</t>
  </si>
  <si>
    <t>TARGETED FRIENDLY UNIT GAINS INVULNERABLE</t>
  </si>
  <si>
    <t>MOKSHA</t>
  </si>
  <si>
    <t>CREATE 3 LEGENDARY SPELLS IN YOUR HAND COSTS -3 SOMA</t>
  </si>
  <si>
    <t>HALAHAL</t>
  </si>
  <si>
    <t>BLEEDS &amp; POISONS TO ALL</t>
  </si>
  <si>
    <t>VASANT</t>
  </si>
  <si>
    <t>REGAINS ALL SOMA USED IN CURRENT TURN</t>
  </si>
  <si>
    <t>ANGER MANTRA</t>
  </si>
  <si>
    <t>HERO GAINS ANGER</t>
  </si>
  <si>
    <t>REWIND TIME</t>
  </si>
  <si>
    <t>HEALS HERO ALL DAMAGE TAKEN IN THE LAST 2 TURNS</t>
  </si>
  <si>
    <t>DIVINE GEM</t>
  </si>
  <si>
    <t>TARGET FRIENDLY UNIT GAINS IMMORTAL</t>
  </si>
  <si>
    <t>KASHYAPA'S FAITH</t>
  </si>
  <si>
    <t>HERO LOSES 5 HEALTH &amp; GAINS 6 SOMA FOR THIS TURN</t>
  </si>
  <si>
    <t>FINAL CHORD</t>
  </si>
  <si>
    <t>SACRIFICE A FRIENDLY UNIT GAINS 5 SOMA</t>
  </si>
  <si>
    <t>DANAV TANTRA</t>
  </si>
  <si>
    <t>REMAINING HEALTH OF BOTH HEROES ARE SPLIT EQUALLY</t>
  </si>
  <si>
    <t>TATYA ASTRA</t>
  </si>
  <si>
    <t>ENEMIES GAIN UNCONSIOUSNESS FOR 2 TURNS</t>
  </si>
  <si>
    <t>GANDHARVASTRA</t>
  </si>
  <si>
    <t>MANAVASTRA</t>
  </si>
  <si>
    <t>DEAL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</si>
</sst>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3.0"/>
      <color rgb="FF000000"/>
      <name val="Calibri"/>
    </font>
    <font>
      <sz val="11.0"/>
      <color rgb="FF000000"/>
      <name val="Calibri"/>
    </font>
    <font/>
  </fonts>
  <fills count="2">
    <fill>
      <patternFill patternType="none"/>
    </fill>
    <fill>
      <patternFill patternType="lightGray"/>
    </fill>
  </fills>
  <borders count="13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0"/>
    </xf>
    <xf borderId="1" fillId="0" fontId="2" numFmtId="0" xfId="0" applyAlignment="1" applyBorder="1" applyFont="1">
      <alignment horizontal="center" readingOrder="0" shrinkToFit="0" wrapText="0"/>
    </xf>
    <xf borderId="2" fillId="0" fontId="3" numFmtId="0" xfId="0" applyBorder="1" applyFont="1"/>
    <xf borderId="0" fillId="0" fontId="2" numFmtId="0" xfId="0" applyAlignment="1" applyFont="1">
      <alignment shrinkToFit="0" vertical="bottom" wrapText="0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0" fillId="0" fontId="2" numFmtId="0" xfId="0" applyAlignment="1" applyFont="1">
      <alignment readingOrder="0" shrinkToFit="0" vertical="bottom" wrapText="0"/>
    </xf>
    <xf borderId="6" fillId="0" fontId="3" numFmtId="0" xfId="0" applyBorder="1" applyFont="1"/>
    <xf borderId="0" fillId="0" fontId="2" numFmtId="0" xfId="0" applyAlignment="1" applyFont="1">
      <alignment horizontal="right" readingOrder="0" shrinkToFit="0" vertical="bottom" wrapText="0"/>
    </xf>
    <xf borderId="4" fillId="0" fontId="2" numFmtId="0" xfId="0" applyAlignment="1" applyBorder="1" applyFont="1">
      <alignment horizontal="center" readingOrder="0" shrinkToFit="0" wrapText="0"/>
    </xf>
    <xf borderId="7" fillId="0" fontId="2" numFmtId="0" xfId="0" applyAlignment="1" applyBorder="1" applyFont="1">
      <alignment horizontal="center" readingOrder="0" shrinkToFit="0" wrapText="0"/>
    </xf>
    <xf borderId="6" fillId="0" fontId="2" numFmtId="0" xfId="0" applyAlignment="1" applyBorder="1" applyFont="1">
      <alignment horizontal="center" readingOrder="0" shrinkToFit="0" wrapText="0"/>
    </xf>
    <xf borderId="8" fillId="0" fontId="1" numFmtId="0" xfId="0" applyAlignment="1" applyBorder="1" applyFont="1">
      <alignment shrinkToFit="0" wrapText="0"/>
    </xf>
    <xf borderId="0" fillId="0" fontId="1" numFmtId="0" xfId="0" applyAlignment="1" applyFont="1">
      <alignment shrinkToFit="0" wrapText="0"/>
    </xf>
    <xf borderId="0" fillId="0" fontId="1" numFmtId="0" xfId="0" applyAlignment="1" applyFont="1">
      <alignment horizontal="center" shrinkToFit="0" wrapText="0"/>
    </xf>
    <xf borderId="9" fillId="0" fontId="1" numFmtId="0" xfId="0" applyAlignment="1" applyBorder="1" applyFont="1">
      <alignment shrinkToFit="0" wrapText="0"/>
    </xf>
    <xf borderId="10" fillId="0" fontId="2" numFmtId="0" xfId="0" applyAlignment="1" applyBorder="1" applyFont="1">
      <alignment horizontal="center" readingOrder="0" shrinkToFit="0" wrapText="0"/>
    </xf>
    <xf borderId="3" fillId="0" fontId="2" numFmtId="0" xfId="0" applyAlignment="1" applyBorder="1" applyFont="1">
      <alignment readingOrder="0" shrinkToFit="0" vertical="bottom" wrapText="0"/>
    </xf>
    <xf borderId="2" fillId="0" fontId="2" numFmtId="0" xfId="0" applyAlignment="1" applyBorder="1" applyFont="1">
      <alignment horizontal="center" readingOrder="0" shrinkToFit="0" vertical="bottom" wrapText="0"/>
    </xf>
    <xf borderId="10" fillId="0" fontId="2" numFmtId="0" xfId="0" applyAlignment="1" applyBorder="1" applyFont="1">
      <alignment readingOrder="0" shrinkToFit="0" vertical="bottom" wrapText="0"/>
    </xf>
    <xf borderId="11" fillId="0" fontId="3" numFmtId="0" xfId="0" applyBorder="1" applyFont="1"/>
    <xf borderId="9" fillId="0" fontId="2" numFmtId="0" xfId="0" applyAlignment="1" applyBorder="1" applyFont="1">
      <alignment readingOrder="0" shrinkToFit="0" vertical="bottom" wrapText="0"/>
    </xf>
    <xf borderId="9" fillId="0" fontId="2" numFmtId="0" xfId="0" applyAlignment="1" applyBorder="1" applyFont="1">
      <alignment horizontal="center" readingOrder="0" shrinkToFit="0" vertical="bottom" wrapText="0"/>
    </xf>
    <xf borderId="3" fillId="0" fontId="2" numFmtId="0" xfId="0" applyAlignment="1" applyBorder="1" applyFont="1">
      <alignment horizontal="center" readingOrder="0" shrinkToFit="0" vertical="bottom" wrapText="0"/>
    </xf>
    <xf borderId="12" fillId="0" fontId="3" numFmtId="0" xfId="0" applyBorder="1" applyFont="1"/>
    <xf borderId="6" fillId="0" fontId="2" numFmtId="0" xfId="0" applyAlignment="1" applyBorder="1" applyFont="1">
      <alignment readingOrder="0" shrinkToFit="0" vertical="bottom" wrapText="0"/>
    </xf>
    <xf borderId="6" fillId="0" fontId="2" numFmtId="0" xfId="0" applyAlignment="1" applyBorder="1" applyFont="1">
      <alignment horizontal="center" readingOrder="0" shrinkToFit="0" vertical="bottom" wrapText="0"/>
    </xf>
    <xf borderId="8" fillId="0" fontId="2" numFmtId="0" xfId="0" applyAlignment="1" applyBorder="1" applyFont="1">
      <alignment shrinkToFit="0" vertical="bottom" wrapText="0"/>
    </xf>
    <xf borderId="0" fillId="0" fontId="2" numFmtId="0" xfId="0" applyAlignment="1" applyFont="1">
      <alignment horizontal="center" shrinkToFit="0" vertical="bottom" wrapText="0"/>
    </xf>
    <xf borderId="9" fillId="0" fontId="2" numFmtId="0" xfId="0" applyAlignment="1" applyBorder="1" applyFont="1">
      <alignment shrinkToFit="0" vertical="bottom" wrapText="0"/>
    </xf>
    <xf borderId="2" fillId="0" fontId="2" numFmtId="0" xfId="0" applyAlignment="1" applyBorder="1" applyFont="1">
      <alignment readingOrder="0" shrinkToFit="0" vertical="bottom" wrapText="0"/>
    </xf>
    <xf borderId="10" fillId="0" fontId="2" numFmtId="0" xfId="0" applyAlignment="1" applyBorder="1" applyFont="1">
      <alignment horizontal="center" readingOrder="0" shrinkToFit="0" vertical="bottom" wrapText="0"/>
    </xf>
    <xf borderId="0" fillId="0" fontId="2" numFmtId="0" xfId="0" applyAlignment="1" applyFont="1">
      <alignment horizontal="center" readingOrder="0" vertical="bottom"/>
    </xf>
    <xf borderId="11" fillId="0" fontId="2" numFmtId="0" xfId="0" applyAlignment="1" applyBorder="1" applyFont="1">
      <alignment horizontal="center" readingOrder="0" shrinkToFit="0" vertical="bottom" wrapText="0"/>
    </xf>
    <xf borderId="5" fillId="0" fontId="2" numFmtId="0" xfId="0" applyAlignment="1" applyBorder="1" applyFont="1">
      <alignment readingOrder="0" shrinkToFit="0" vertical="bottom" wrapText="0"/>
    </xf>
    <xf borderId="12" fillId="0" fontId="2" numFmtId="0" xfId="0" applyAlignment="1" applyBorder="1" applyFont="1">
      <alignment horizontal="center" readingOrder="0" shrinkToFit="0" vertical="bottom" wrapText="0"/>
    </xf>
    <xf borderId="0" fillId="0" fontId="2" numFmtId="0" xfId="0" applyAlignment="1" applyFont="1">
      <alignment horizontal="center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14.38"/>
    <col customWidth="1" min="3" max="3" width="36.0"/>
    <col customWidth="1" min="4" max="4" width="54.25"/>
    <col customWidth="1" min="9" max="9" width="66.63"/>
    <col customWidth="1" min="10" max="10" width="17.63"/>
    <col customWidth="1" min="11" max="11" width="7.75"/>
    <col customWidth="1" min="12" max="12" width="48.25"/>
  </cols>
  <sheetData>
    <row r="1">
      <c r="A1" s="2" t="s">
        <v>1</v>
      </c>
      <c r="B1" s="3"/>
      <c r="C1" s="3"/>
      <c r="D1" s="5"/>
    </row>
    <row r="2">
      <c r="A2" s="6"/>
      <c r="B2" s="7"/>
      <c r="C2" s="7"/>
      <c r="D2" s="9"/>
      <c r="I2" s="2" t="s">
        <v>10</v>
      </c>
      <c r="J2" s="3"/>
      <c r="K2" s="3"/>
      <c r="L2" s="5"/>
    </row>
    <row r="3">
      <c r="A3" s="11" t="s">
        <v>13</v>
      </c>
      <c r="B3" s="12" t="s">
        <v>17</v>
      </c>
      <c r="C3" s="12" t="s">
        <v>18</v>
      </c>
      <c r="D3" s="13" t="s">
        <v>19</v>
      </c>
      <c r="I3" s="6"/>
      <c r="J3" s="7"/>
      <c r="K3" s="7"/>
      <c r="L3" s="9"/>
    </row>
    <row r="4">
      <c r="A4" s="14"/>
      <c r="B4" s="15"/>
      <c r="C4" s="16"/>
      <c r="D4" s="17"/>
      <c r="I4" s="12" t="s">
        <v>13</v>
      </c>
      <c r="J4" s="12" t="s">
        <v>20</v>
      </c>
      <c r="K4" s="12" t="s">
        <v>18</v>
      </c>
      <c r="L4" s="13" t="s">
        <v>19</v>
      </c>
    </row>
    <row r="5">
      <c r="A5" s="18" t="s">
        <v>21</v>
      </c>
      <c r="B5" s="19" t="s">
        <v>22</v>
      </c>
      <c r="C5" s="20" t="s">
        <v>23</v>
      </c>
      <c r="D5" s="21" t="s">
        <v>24</v>
      </c>
      <c r="I5" s="14"/>
      <c r="J5" s="15"/>
      <c r="K5" s="16"/>
      <c r="L5" s="17"/>
    </row>
    <row r="6">
      <c r="A6" s="22"/>
      <c r="B6" s="23" t="s">
        <v>25</v>
      </c>
      <c r="C6" s="24" t="s">
        <v>26</v>
      </c>
      <c r="D6" s="23" t="s">
        <v>27</v>
      </c>
      <c r="I6" s="18" t="s">
        <v>28</v>
      </c>
      <c r="J6" s="19" t="s">
        <v>29</v>
      </c>
      <c r="K6" s="25" t="s">
        <v>30</v>
      </c>
      <c r="L6" s="19" t="s">
        <v>31</v>
      </c>
    </row>
    <row r="7">
      <c r="A7" s="22"/>
      <c r="B7" s="23" t="s">
        <v>32</v>
      </c>
      <c r="C7" s="24" t="s">
        <v>33</v>
      </c>
      <c r="D7" s="23" t="s">
        <v>34</v>
      </c>
      <c r="I7" s="22"/>
      <c r="J7" s="23" t="s">
        <v>35</v>
      </c>
      <c r="K7" s="24" t="s">
        <v>36</v>
      </c>
      <c r="L7" s="23" t="s">
        <v>37</v>
      </c>
    </row>
    <row r="8">
      <c r="A8" s="22"/>
      <c r="B8" s="23" t="s">
        <v>38</v>
      </c>
      <c r="C8" s="24" t="s">
        <v>39</v>
      </c>
      <c r="D8" s="23" t="s">
        <v>40</v>
      </c>
      <c r="I8" s="22"/>
      <c r="J8" s="23" t="s">
        <v>41</v>
      </c>
      <c r="K8" s="24" t="s">
        <v>42</v>
      </c>
      <c r="L8" s="23" t="s">
        <v>43</v>
      </c>
    </row>
    <row r="9">
      <c r="A9" s="22"/>
      <c r="B9" s="23" t="s">
        <v>44</v>
      </c>
      <c r="C9" s="24" t="s">
        <v>45</v>
      </c>
      <c r="D9" s="23" t="s">
        <v>46</v>
      </c>
      <c r="I9" s="22"/>
      <c r="J9" s="23" t="s">
        <v>47</v>
      </c>
      <c r="K9" s="24" t="s">
        <v>33</v>
      </c>
      <c r="L9" s="23" t="s">
        <v>48</v>
      </c>
    </row>
    <row r="10">
      <c r="A10" s="22"/>
      <c r="B10" s="23" t="s">
        <v>49</v>
      </c>
      <c r="C10" s="24" t="s">
        <v>39</v>
      </c>
      <c r="D10" s="23" t="s">
        <v>50</v>
      </c>
      <c r="I10" s="22"/>
      <c r="J10" s="23" t="s">
        <v>51</v>
      </c>
      <c r="K10" s="24" t="s">
        <v>33</v>
      </c>
      <c r="L10" s="23" t="s">
        <v>52</v>
      </c>
    </row>
    <row r="11">
      <c r="A11" s="22"/>
      <c r="B11" s="23" t="s">
        <v>53</v>
      </c>
      <c r="C11" s="24" t="s">
        <v>54</v>
      </c>
      <c r="D11" s="23" t="s">
        <v>55</v>
      </c>
      <c r="I11" s="22"/>
      <c r="J11" s="23" t="s">
        <v>56</v>
      </c>
      <c r="K11" s="24" t="s">
        <v>57</v>
      </c>
      <c r="L11" s="23" t="s">
        <v>58</v>
      </c>
    </row>
    <row r="12">
      <c r="A12" s="22"/>
      <c r="B12" s="23" t="s">
        <v>59</v>
      </c>
      <c r="C12" s="24" t="s">
        <v>60</v>
      </c>
      <c r="D12" s="23" t="s">
        <v>61</v>
      </c>
      <c r="I12" s="22"/>
      <c r="J12" s="23" t="s">
        <v>62</v>
      </c>
      <c r="K12" s="24" t="s">
        <v>63</v>
      </c>
      <c r="L12" s="23" t="s">
        <v>64</v>
      </c>
    </row>
    <row r="13">
      <c r="A13" s="22"/>
      <c r="B13" s="23" t="s">
        <v>65</v>
      </c>
      <c r="C13" s="24" t="s">
        <v>66</v>
      </c>
      <c r="D13" s="23" t="s">
        <v>67</v>
      </c>
      <c r="I13" s="22"/>
      <c r="J13" s="23" t="s">
        <v>68</v>
      </c>
      <c r="K13" s="24" t="s">
        <v>69</v>
      </c>
      <c r="L13" s="23" t="s">
        <v>70</v>
      </c>
    </row>
    <row r="14">
      <c r="A14" s="26"/>
      <c r="B14" s="27" t="s">
        <v>71</v>
      </c>
      <c r="C14" s="28" t="s">
        <v>72</v>
      </c>
      <c r="D14" s="27" t="s">
        <v>73</v>
      </c>
      <c r="I14" s="22"/>
      <c r="J14" s="23" t="s">
        <v>74</v>
      </c>
      <c r="K14" s="24" t="s">
        <v>75</v>
      </c>
      <c r="L14" s="23" t="s">
        <v>76</v>
      </c>
    </row>
    <row r="15">
      <c r="A15" s="29"/>
      <c r="B15" s="4"/>
      <c r="C15" s="30"/>
      <c r="D15" s="31"/>
      <c r="I15" s="26"/>
      <c r="J15" s="27" t="s">
        <v>77</v>
      </c>
      <c r="K15" s="28" t="s">
        <v>33</v>
      </c>
      <c r="L15" s="27" t="s">
        <v>78</v>
      </c>
    </row>
    <row r="16">
      <c r="A16" s="18" t="s">
        <v>79</v>
      </c>
      <c r="B16" s="19" t="s">
        <v>80</v>
      </c>
      <c r="C16" s="25" t="s">
        <v>81</v>
      </c>
      <c r="D16" s="19" t="s">
        <v>82</v>
      </c>
      <c r="I16" s="29"/>
      <c r="J16" s="4"/>
      <c r="K16" s="30"/>
      <c r="L16" s="31"/>
    </row>
    <row r="17">
      <c r="A17" s="22"/>
      <c r="B17" s="23" t="s">
        <v>83</v>
      </c>
      <c r="C17" s="24" t="s">
        <v>60</v>
      </c>
      <c r="D17" s="23" t="s">
        <v>84</v>
      </c>
      <c r="I17" s="18" t="s">
        <v>85</v>
      </c>
      <c r="J17" s="32" t="s">
        <v>86</v>
      </c>
      <c r="K17" s="33" t="s">
        <v>75</v>
      </c>
      <c r="L17" s="19" t="s">
        <v>87</v>
      </c>
      <c r="P17" s="34" t="s">
        <v>88</v>
      </c>
    </row>
    <row r="18">
      <c r="A18" s="22"/>
      <c r="B18" s="23" t="s">
        <v>89</v>
      </c>
      <c r="C18" s="24" t="s">
        <v>60</v>
      </c>
      <c r="D18" s="23" t="s">
        <v>90</v>
      </c>
      <c r="I18" s="22"/>
      <c r="J18" s="8" t="s">
        <v>91</v>
      </c>
      <c r="K18" s="35" t="s">
        <v>92</v>
      </c>
      <c r="L18" s="23" t="s">
        <v>93</v>
      </c>
    </row>
    <row r="19">
      <c r="A19" s="22"/>
      <c r="B19" s="23" t="s">
        <v>94</v>
      </c>
      <c r="C19" s="24" t="s">
        <v>39</v>
      </c>
      <c r="D19" s="23" t="s">
        <v>95</v>
      </c>
      <c r="I19" s="22"/>
      <c r="J19" s="8" t="s">
        <v>96</v>
      </c>
      <c r="K19" s="35" t="s">
        <v>33</v>
      </c>
      <c r="L19" s="23" t="s">
        <v>97</v>
      </c>
    </row>
    <row r="20">
      <c r="A20" s="22"/>
      <c r="B20" s="23" t="s">
        <v>98</v>
      </c>
      <c r="C20" s="24" t="s">
        <v>30</v>
      </c>
      <c r="D20" s="23" t="s">
        <v>99</v>
      </c>
      <c r="I20" s="22"/>
      <c r="J20" s="8" t="s">
        <v>100</v>
      </c>
      <c r="K20" s="35" t="s">
        <v>69</v>
      </c>
      <c r="L20" s="23" t="s">
        <v>101</v>
      </c>
    </row>
    <row r="21">
      <c r="A21" s="22"/>
      <c r="B21" s="23" t="s">
        <v>102</v>
      </c>
      <c r="C21" s="24" t="s">
        <v>103</v>
      </c>
      <c r="D21" s="23" t="s">
        <v>104</v>
      </c>
      <c r="I21" s="22"/>
      <c r="J21" s="8" t="s">
        <v>105</v>
      </c>
      <c r="K21" s="35" t="s">
        <v>72</v>
      </c>
      <c r="L21" s="23" t="s">
        <v>106</v>
      </c>
    </row>
    <row r="22">
      <c r="A22" s="22"/>
      <c r="B22" s="23" t="s">
        <v>107</v>
      </c>
      <c r="C22" s="24" t="s">
        <v>108</v>
      </c>
      <c r="D22" s="23" t="s">
        <v>109</v>
      </c>
      <c r="I22" s="22"/>
      <c r="J22" s="8" t="s">
        <v>110</v>
      </c>
      <c r="K22" s="35" t="s">
        <v>66</v>
      </c>
      <c r="L22" s="23" t="s">
        <v>111</v>
      </c>
    </row>
    <row r="23">
      <c r="A23" s="22"/>
      <c r="B23" s="23" t="s">
        <v>112</v>
      </c>
      <c r="C23" s="24" t="s">
        <v>113</v>
      </c>
      <c r="D23" s="23" t="s">
        <v>114</v>
      </c>
      <c r="I23" s="22"/>
      <c r="J23" s="8" t="s">
        <v>115</v>
      </c>
      <c r="K23" s="35" t="s">
        <v>116</v>
      </c>
      <c r="L23" s="23" t="s">
        <v>117</v>
      </c>
    </row>
    <row r="24">
      <c r="A24" s="22"/>
      <c r="B24" s="23" t="s">
        <v>118</v>
      </c>
      <c r="C24" s="24" t="s">
        <v>119</v>
      </c>
      <c r="D24" s="23" t="s">
        <v>120</v>
      </c>
      <c r="I24" s="22"/>
      <c r="J24" s="8" t="s">
        <v>121</v>
      </c>
      <c r="K24" s="35" t="s">
        <v>33</v>
      </c>
      <c r="L24" s="23" t="s">
        <v>122</v>
      </c>
    </row>
    <row r="25">
      <c r="A25" s="26"/>
      <c r="B25" s="27" t="s">
        <v>123</v>
      </c>
      <c r="C25" s="28" t="s">
        <v>66</v>
      </c>
      <c r="D25" s="27" t="s">
        <v>124</v>
      </c>
      <c r="I25" s="22"/>
      <c r="J25" s="8" t="s">
        <v>125</v>
      </c>
      <c r="K25" s="35" t="s">
        <v>30</v>
      </c>
      <c r="L25" s="23" t="s">
        <v>126</v>
      </c>
    </row>
    <row r="26">
      <c r="I26" s="26"/>
      <c r="J26" s="36" t="s">
        <v>127</v>
      </c>
      <c r="K26" s="37" t="s">
        <v>128</v>
      </c>
      <c r="L26" s="27" t="s">
        <v>129</v>
      </c>
    </row>
    <row r="28">
      <c r="A28" s="8" t="s">
        <v>130</v>
      </c>
      <c r="B28" s="38" t="s">
        <v>131</v>
      </c>
      <c r="C28" s="8" t="s">
        <v>19</v>
      </c>
    </row>
    <row r="29">
      <c r="A29" s="4"/>
      <c r="B29" s="30"/>
      <c r="C29" s="4"/>
    </row>
    <row r="30">
      <c r="A30" s="8" t="s">
        <v>132</v>
      </c>
      <c r="B30" s="30">
        <f t="shared" ref="B30:B31" si="1">+3</f>
        <v>3</v>
      </c>
      <c r="C30" s="8" t="s">
        <v>133</v>
      </c>
      <c r="G30" s="8" t="s">
        <v>134</v>
      </c>
      <c r="H30" s="38" t="s">
        <v>135</v>
      </c>
      <c r="I30" s="8" t="s">
        <v>19</v>
      </c>
      <c r="J30" s="8" t="s">
        <v>136</v>
      </c>
    </row>
    <row r="31">
      <c r="A31" s="8" t="s">
        <v>137</v>
      </c>
      <c r="B31" s="30">
        <f t="shared" si="1"/>
        <v>3</v>
      </c>
      <c r="C31" s="8" t="s">
        <v>138</v>
      </c>
      <c r="G31" s="4"/>
      <c r="H31" s="30"/>
      <c r="I31" s="4"/>
      <c r="J31" s="4"/>
    </row>
    <row r="32">
      <c r="A32" s="8" t="s">
        <v>139</v>
      </c>
      <c r="B32" s="30">
        <f>+2</f>
        <v>2</v>
      </c>
      <c r="C32" s="8" t="s">
        <v>140</v>
      </c>
      <c r="G32" s="8" t="s">
        <v>141</v>
      </c>
      <c r="H32" s="38">
        <v>8.0</v>
      </c>
      <c r="I32" s="8" t="s">
        <v>142</v>
      </c>
      <c r="J32" s="8" t="s">
        <v>143</v>
      </c>
    </row>
    <row r="33">
      <c r="A33" s="8" t="s">
        <v>144</v>
      </c>
      <c r="B33" s="30">
        <f>+5</f>
        <v>5</v>
      </c>
      <c r="C33" s="8" t="s">
        <v>145</v>
      </c>
      <c r="G33" s="8" t="s">
        <v>146</v>
      </c>
      <c r="H33" s="38">
        <v>8.0</v>
      </c>
      <c r="I33" s="8" t="s">
        <v>147</v>
      </c>
      <c r="J33" s="8" t="s">
        <v>148</v>
      </c>
    </row>
    <row r="34">
      <c r="A34" s="8" t="s">
        <v>149</v>
      </c>
      <c r="B34" s="30">
        <f t="shared" ref="B34:B35" si="2">+4</f>
        <v>4</v>
      </c>
      <c r="C34" s="8" t="s">
        <v>150</v>
      </c>
      <c r="G34" s="8" t="s">
        <v>151</v>
      </c>
      <c r="H34" s="38">
        <v>6.0</v>
      </c>
      <c r="I34" s="8" t="s">
        <v>152</v>
      </c>
      <c r="J34" s="8" t="s">
        <v>153</v>
      </c>
    </row>
    <row r="35">
      <c r="A35" s="8" t="s">
        <v>154</v>
      </c>
      <c r="B35" s="30">
        <f t="shared" si="2"/>
        <v>4</v>
      </c>
      <c r="C35" s="8" t="s">
        <v>155</v>
      </c>
      <c r="G35" s="8" t="s">
        <v>156</v>
      </c>
      <c r="H35" s="38">
        <v>7.0</v>
      </c>
      <c r="I35" s="8" t="s">
        <v>157</v>
      </c>
      <c r="J35" s="8" t="s">
        <v>153</v>
      </c>
    </row>
    <row r="36">
      <c r="A36" s="8" t="s">
        <v>158</v>
      </c>
      <c r="B36" s="30">
        <f t="shared" ref="B36:B37" si="3">+3</f>
        <v>3</v>
      </c>
      <c r="C36" s="8" t="s">
        <v>159</v>
      </c>
      <c r="G36" s="8" t="s">
        <v>160</v>
      </c>
      <c r="H36" s="38">
        <v>10.0</v>
      </c>
      <c r="I36" s="8" t="s">
        <v>161</v>
      </c>
      <c r="J36" s="8" t="s">
        <v>153</v>
      </c>
    </row>
    <row r="37">
      <c r="A37" s="8" t="s">
        <v>162</v>
      </c>
      <c r="B37" s="30">
        <f t="shared" si="3"/>
        <v>3</v>
      </c>
      <c r="C37" s="8" t="s">
        <v>140</v>
      </c>
      <c r="G37" s="8" t="s">
        <v>163</v>
      </c>
      <c r="H37" s="38">
        <v>6.0</v>
      </c>
      <c r="I37" s="8" t="s">
        <v>164</v>
      </c>
      <c r="J37" s="8" t="s">
        <v>165</v>
      </c>
    </row>
    <row r="38">
      <c r="A38" s="8" t="s">
        <v>166</v>
      </c>
      <c r="B38" s="30">
        <f>+1</f>
        <v>1</v>
      </c>
      <c r="C38" s="8" t="s">
        <v>167</v>
      </c>
      <c r="G38" s="8" t="s">
        <v>168</v>
      </c>
      <c r="H38" s="38">
        <v>7.0</v>
      </c>
      <c r="I38" s="8" t="s">
        <v>169</v>
      </c>
      <c r="J38" s="8" t="s">
        <v>148</v>
      </c>
    </row>
    <row r="39">
      <c r="A39" s="8" t="s">
        <v>170</v>
      </c>
      <c r="B39" s="30">
        <f>+3</f>
        <v>3</v>
      </c>
      <c r="C39" s="8" t="s">
        <v>171</v>
      </c>
      <c r="G39" s="8" t="s">
        <v>172</v>
      </c>
      <c r="H39" s="38">
        <v>5.0</v>
      </c>
      <c r="I39" s="8" t="s">
        <v>173</v>
      </c>
      <c r="J39" s="8" t="s">
        <v>153</v>
      </c>
    </row>
    <row r="40">
      <c r="A40" s="8" t="s">
        <v>174</v>
      </c>
      <c r="B40" s="30">
        <f>+1</f>
        <v>1</v>
      </c>
      <c r="C40" s="8" t="s">
        <v>175</v>
      </c>
      <c r="G40" s="8" t="s">
        <v>176</v>
      </c>
      <c r="H40" s="38">
        <v>3.0</v>
      </c>
      <c r="I40" s="8" t="s">
        <v>177</v>
      </c>
      <c r="J40" s="8" t="s">
        <v>165</v>
      </c>
    </row>
    <row r="41">
      <c r="G41" s="8" t="s">
        <v>178</v>
      </c>
      <c r="H41" s="38">
        <v>3.0</v>
      </c>
      <c r="I41" s="8" t="s">
        <v>179</v>
      </c>
      <c r="J41" s="8" t="s">
        <v>153</v>
      </c>
    </row>
    <row r="42">
      <c r="A42" s="8" t="s">
        <v>180</v>
      </c>
      <c r="B42" s="38">
        <v>0.0</v>
      </c>
      <c r="C42" s="8" t="s">
        <v>181</v>
      </c>
      <c r="G42" s="8" t="s">
        <v>182</v>
      </c>
      <c r="H42" s="38">
        <v>4.0</v>
      </c>
      <c r="I42" s="8" t="s">
        <v>183</v>
      </c>
      <c r="J42" s="8" t="s">
        <v>165</v>
      </c>
    </row>
    <row r="43">
      <c r="A43" s="8" t="s">
        <v>184</v>
      </c>
      <c r="B43" s="30">
        <f>+1</f>
        <v>1</v>
      </c>
      <c r="C43" s="8" t="s">
        <v>185</v>
      </c>
      <c r="G43" s="8" t="s">
        <v>186</v>
      </c>
      <c r="H43" s="38">
        <v>4.0</v>
      </c>
      <c r="I43" s="8" t="s">
        <v>187</v>
      </c>
      <c r="J43" s="8" t="s">
        <v>148</v>
      </c>
    </row>
    <row r="44">
      <c r="A44" s="8" t="s">
        <v>188</v>
      </c>
      <c r="B44" s="30">
        <f>+2</f>
        <v>2</v>
      </c>
      <c r="C44" s="4"/>
      <c r="G44" s="8" t="s">
        <v>189</v>
      </c>
      <c r="H44" s="38">
        <v>4.0</v>
      </c>
      <c r="I44" s="8" t="s">
        <v>190</v>
      </c>
      <c r="J44" s="8" t="s">
        <v>153</v>
      </c>
    </row>
    <row r="45">
      <c r="A45" s="8" t="s">
        <v>191</v>
      </c>
      <c r="B45" s="30">
        <f t="shared" ref="B45:B46" si="4">+1</f>
        <v>1</v>
      </c>
      <c r="C45" s="8" t="s">
        <v>167</v>
      </c>
      <c r="G45" s="8" t="s">
        <v>192</v>
      </c>
      <c r="H45" s="38">
        <v>6.0</v>
      </c>
      <c r="I45" s="8" t="s">
        <v>193</v>
      </c>
      <c r="J45" s="8" t="s">
        <v>143</v>
      </c>
    </row>
    <row r="46">
      <c r="A46" s="8" t="s">
        <v>194</v>
      </c>
      <c r="B46" s="30">
        <f t="shared" si="4"/>
        <v>1</v>
      </c>
      <c r="C46" s="8" t="s">
        <v>185</v>
      </c>
      <c r="G46" s="8" t="s">
        <v>195</v>
      </c>
      <c r="H46" s="38">
        <v>3.0</v>
      </c>
      <c r="I46" s="8" t="s">
        <v>196</v>
      </c>
      <c r="J46" s="8" t="s">
        <v>143</v>
      </c>
    </row>
    <row r="47">
      <c r="A47" s="8" t="s">
        <v>197</v>
      </c>
      <c r="B47" s="30">
        <f t="shared" ref="B47:B49" si="5">+2</f>
        <v>2</v>
      </c>
      <c r="C47" s="4"/>
      <c r="G47" s="8" t="s">
        <v>198</v>
      </c>
      <c r="H47" s="38">
        <v>2.0</v>
      </c>
      <c r="I47" s="8" t="s">
        <v>199</v>
      </c>
      <c r="J47" s="8" t="s">
        <v>148</v>
      </c>
    </row>
    <row r="48">
      <c r="A48" s="8" t="s">
        <v>200</v>
      </c>
      <c r="B48" s="30">
        <f t="shared" si="5"/>
        <v>2</v>
      </c>
      <c r="C48" s="4"/>
      <c r="G48" s="8" t="s">
        <v>201</v>
      </c>
      <c r="H48" s="38">
        <v>7.0</v>
      </c>
      <c r="I48" s="4"/>
      <c r="J48" s="8" t="s">
        <v>165</v>
      </c>
    </row>
    <row r="49">
      <c r="A49" s="8" t="s">
        <v>202</v>
      </c>
      <c r="B49" s="30">
        <f t="shared" si="5"/>
        <v>2</v>
      </c>
      <c r="C49" s="4"/>
      <c r="G49" s="8" t="s">
        <v>203</v>
      </c>
      <c r="H49" s="38">
        <v>5.0</v>
      </c>
      <c r="I49" s="4"/>
      <c r="J49" s="8" t="s">
        <v>153</v>
      </c>
    </row>
    <row r="50">
      <c r="G50" s="8" t="s">
        <v>204</v>
      </c>
      <c r="H50" s="38">
        <v>6.0</v>
      </c>
      <c r="I50" s="4"/>
      <c r="J50" s="8" t="s">
        <v>153</v>
      </c>
    </row>
    <row r="51">
      <c r="G51" s="8" t="s">
        <v>205</v>
      </c>
      <c r="H51" s="38">
        <v>5.0</v>
      </c>
      <c r="I51" s="8" t="s">
        <v>206</v>
      </c>
      <c r="J51" s="8" t="s">
        <v>153</v>
      </c>
    </row>
    <row r="52">
      <c r="G52" s="8" t="s">
        <v>207</v>
      </c>
      <c r="H52" s="38">
        <v>3.0</v>
      </c>
      <c r="I52" s="8" t="s">
        <v>208</v>
      </c>
      <c r="J52" s="8" t="s">
        <v>153</v>
      </c>
    </row>
    <row r="53">
      <c r="G53" s="8" t="s">
        <v>209</v>
      </c>
      <c r="H53" s="38">
        <v>6.0</v>
      </c>
      <c r="I53" s="8" t="s">
        <v>210</v>
      </c>
      <c r="J53" s="8" t="s">
        <v>153</v>
      </c>
    </row>
    <row r="54">
      <c r="G54" s="8" t="s">
        <v>211</v>
      </c>
      <c r="H54" s="38">
        <v>4.0</v>
      </c>
      <c r="I54" s="8" t="s">
        <v>212</v>
      </c>
      <c r="J54" s="8" t="s">
        <v>153</v>
      </c>
    </row>
    <row r="55">
      <c r="G55" s="8" t="s">
        <v>213</v>
      </c>
      <c r="H55" s="38">
        <v>4.0</v>
      </c>
      <c r="I55" s="8" t="s">
        <v>214</v>
      </c>
      <c r="J55" s="8" t="s">
        <v>153</v>
      </c>
    </row>
    <row r="56">
      <c r="G56" s="8" t="s">
        <v>215</v>
      </c>
      <c r="H56" s="38">
        <v>4.0</v>
      </c>
      <c r="I56" s="8" t="s">
        <v>216</v>
      </c>
      <c r="J56" s="8" t="s">
        <v>153</v>
      </c>
    </row>
    <row r="57">
      <c r="G57" s="8" t="s">
        <v>217</v>
      </c>
      <c r="H57" s="38">
        <v>6.0</v>
      </c>
      <c r="I57" s="8" t="s">
        <v>218</v>
      </c>
      <c r="J57" s="8" t="s">
        <v>153</v>
      </c>
    </row>
    <row r="58">
      <c r="G58" s="8" t="s">
        <v>219</v>
      </c>
      <c r="H58" s="38">
        <v>10.0</v>
      </c>
      <c r="I58" s="4"/>
      <c r="J58" s="8" t="s">
        <v>143</v>
      </c>
    </row>
    <row r="59">
      <c r="G59" s="8" t="s">
        <v>220</v>
      </c>
      <c r="H59" s="38">
        <v>10.0</v>
      </c>
      <c r="I59" s="4"/>
      <c r="J59" s="8" t="s">
        <v>165</v>
      </c>
    </row>
    <row r="60">
      <c r="G60" s="8" t="s">
        <v>221</v>
      </c>
      <c r="H60" s="38">
        <v>5.0</v>
      </c>
      <c r="I60" s="8" t="s">
        <v>222</v>
      </c>
      <c r="J60" s="8" t="s">
        <v>148</v>
      </c>
    </row>
    <row r="61">
      <c r="G61" s="8" t="s">
        <v>223</v>
      </c>
      <c r="H61" s="38">
        <v>6.0</v>
      </c>
      <c r="I61" s="8" t="s">
        <v>224</v>
      </c>
      <c r="J61" s="8" t="s">
        <v>148</v>
      </c>
    </row>
    <row r="62">
      <c r="G62" s="8" t="s">
        <v>225</v>
      </c>
      <c r="H62" s="38">
        <v>7.0</v>
      </c>
      <c r="I62" s="4"/>
      <c r="J62" s="8" t="s">
        <v>148</v>
      </c>
    </row>
    <row r="63">
      <c r="G63" s="8" t="s">
        <v>226</v>
      </c>
      <c r="H63" s="38">
        <v>6.0</v>
      </c>
      <c r="I63" s="8" t="s">
        <v>227</v>
      </c>
      <c r="J63" s="8" t="s">
        <v>143</v>
      </c>
    </row>
    <row r="64">
      <c r="G64" s="8" t="s">
        <v>228</v>
      </c>
      <c r="H64" s="38">
        <v>4.0</v>
      </c>
      <c r="I64" s="8" t="s">
        <v>229</v>
      </c>
      <c r="J64" s="8" t="s">
        <v>165</v>
      </c>
    </row>
    <row r="65">
      <c r="G65" s="8" t="s">
        <v>230</v>
      </c>
      <c r="H65" s="38">
        <v>6.0</v>
      </c>
      <c r="I65" s="8" t="s">
        <v>231</v>
      </c>
      <c r="J65" s="8" t="s">
        <v>165</v>
      </c>
    </row>
    <row r="66">
      <c r="G66" s="8" t="s">
        <v>232</v>
      </c>
      <c r="H66" s="38">
        <v>3.0</v>
      </c>
      <c r="I66" s="8" t="s">
        <v>233</v>
      </c>
      <c r="J66" s="8" t="s">
        <v>165</v>
      </c>
    </row>
    <row r="67">
      <c r="G67" s="8" t="s">
        <v>234</v>
      </c>
      <c r="H67" s="38">
        <v>5.0</v>
      </c>
      <c r="I67" s="8" t="s">
        <v>235</v>
      </c>
      <c r="J67" s="8" t="s">
        <v>165</v>
      </c>
    </row>
    <row r="68">
      <c r="G68" s="8" t="s">
        <v>236</v>
      </c>
      <c r="H68" s="38">
        <v>4.0</v>
      </c>
      <c r="I68" s="8" t="s">
        <v>237</v>
      </c>
      <c r="J68" s="8" t="s">
        <v>165</v>
      </c>
    </row>
    <row r="69">
      <c r="G69" s="8" t="s">
        <v>238</v>
      </c>
      <c r="H69" s="38">
        <v>3.0</v>
      </c>
      <c r="I69" s="8" t="s">
        <v>239</v>
      </c>
      <c r="J69" s="8" t="s">
        <v>153</v>
      </c>
    </row>
    <row r="70">
      <c r="G70" s="8" t="s">
        <v>240</v>
      </c>
      <c r="H70" s="38">
        <v>2.0</v>
      </c>
      <c r="I70" s="8" t="s">
        <v>241</v>
      </c>
      <c r="J70" s="8" t="s">
        <v>165</v>
      </c>
    </row>
    <row r="71">
      <c r="G71" s="8" t="s">
        <v>242</v>
      </c>
      <c r="H71" s="38">
        <v>3.0</v>
      </c>
      <c r="I71" s="8" t="s">
        <v>243</v>
      </c>
      <c r="J71" s="8" t="s">
        <v>165</v>
      </c>
    </row>
    <row r="72">
      <c r="G72" s="8" t="s">
        <v>244</v>
      </c>
      <c r="H72" s="38">
        <v>2.0</v>
      </c>
      <c r="I72" s="8" t="s">
        <v>245</v>
      </c>
      <c r="J72" s="8" t="s">
        <v>153</v>
      </c>
    </row>
    <row r="73">
      <c r="G73" s="8" t="s">
        <v>246</v>
      </c>
      <c r="H73" s="38">
        <v>5.0</v>
      </c>
      <c r="I73" s="8" t="s">
        <v>247</v>
      </c>
      <c r="J73" s="8" t="s">
        <v>165</v>
      </c>
    </row>
    <row r="74">
      <c r="G74" s="8" t="s">
        <v>248</v>
      </c>
      <c r="H74" s="38">
        <v>6.0</v>
      </c>
      <c r="I74" s="8" t="s">
        <v>249</v>
      </c>
      <c r="J74" s="8" t="s">
        <v>153</v>
      </c>
    </row>
    <row r="75">
      <c r="G75" s="8" t="s">
        <v>250</v>
      </c>
      <c r="H75" s="38">
        <v>5.0</v>
      </c>
      <c r="I75" s="4"/>
      <c r="J75" s="8" t="s">
        <v>153</v>
      </c>
    </row>
    <row r="76">
      <c r="G76" s="8" t="s">
        <v>251</v>
      </c>
      <c r="H76" s="38">
        <v>6.0</v>
      </c>
      <c r="I76" s="8" t="s">
        <v>252</v>
      </c>
      <c r="J76" s="8" t="s">
        <v>153</v>
      </c>
    </row>
  </sheetData>
  <mergeCells count="7">
    <mergeCell ref="A1:D2"/>
    <mergeCell ref="I2:L3"/>
    <mergeCell ref="A5:A14"/>
    <mergeCell ref="I6:I15"/>
    <mergeCell ref="A16:A25"/>
    <mergeCell ref="I17:I26"/>
    <mergeCell ref="P17:R17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63"/>
    <col customWidth="1" min="2" max="2" width="35.75"/>
    <col customWidth="1" min="6" max="6" width="48.25"/>
  </cols>
  <sheetData>
    <row r="1">
      <c r="A1" s="1" t="s">
        <v>0</v>
      </c>
      <c r="B1" s="1" t="s">
        <v>2</v>
      </c>
      <c r="C1" s="1" t="s">
        <v>3</v>
      </c>
      <c r="E1" s="1" t="s">
        <v>4</v>
      </c>
      <c r="F1" s="1" t="s">
        <v>5</v>
      </c>
      <c r="G1" s="1" t="s">
        <v>6</v>
      </c>
    </row>
    <row r="2">
      <c r="A2" s="4"/>
      <c r="B2" s="4"/>
      <c r="C2" s="4"/>
      <c r="E2" s="4"/>
      <c r="F2" s="4"/>
      <c r="G2" s="4"/>
    </row>
    <row r="3">
      <c r="A3" s="8" t="s">
        <v>7</v>
      </c>
      <c r="B3" s="8" t="s">
        <v>8</v>
      </c>
      <c r="C3" s="10" t="s">
        <v>9</v>
      </c>
      <c r="E3" s="4"/>
      <c r="F3" s="4"/>
      <c r="G3" s="10">
        <v>799.0</v>
      </c>
    </row>
    <row r="4">
      <c r="A4" s="8" t="s">
        <v>11</v>
      </c>
      <c r="B4" s="8" t="s">
        <v>12</v>
      </c>
      <c r="C4" s="10" t="s">
        <v>9</v>
      </c>
      <c r="E4" s="4"/>
      <c r="F4" s="4"/>
      <c r="G4" s="10">
        <v>599.0</v>
      </c>
    </row>
    <row r="5">
      <c r="A5" s="8" t="s">
        <v>14</v>
      </c>
      <c r="B5" s="8" t="s">
        <v>15</v>
      </c>
      <c r="C5" s="10" t="s">
        <v>16</v>
      </c>
      <c r="E5" s="4"/>
      <c r="F5" s="4"/>
      <c r="G5" s="10">
        <v>999.0</v>
      </c>
    </row>
    <row r="6">
      <c r="E6" s="4"/>
      <c r="F6" s="4"/>
      <c r="G6" s="10">
        <v>499.0</v>
      </c>
    </row>
    <row r="7">
      <c r="E7" s="4"/>
      <c r="F7" s="4"/>
      <c r="G7" s="10">
        <v>349.0</v>
      </c>
    </row>
  </sheetData>
  <drawing r:id="rId1"/>
</worksheet>
</file>